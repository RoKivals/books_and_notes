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lava\Documents\Школа\Информатика\"/>
    </mc:Choice>
  </mc:AlternateContent>
  <bookViews>
    <workbookView xWindow="0" yWindow="0" windowWidth="21570" windowHeight="8145" firstSheet="1" activeTab="2"/>
  </bookViews>
  <sheets>
    <sheet name="Лист1" sheetId="1" r:id="rId1"/>
    <sheet name="Лист2" sheetId="2" r:id="rId2"/>
    <sheet name="Лист3" sheetId="3" r:id="rId3"/>
    <sheet name="Лист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3" l="1"/>
  <c r="D9" i="3"/>
  <c r="E9" i="3"/>
  <c r="F9" i="3"/>
  <c r="G9" i="3"/>
  <c r="B9" i="3"/>
  <c r="G7" i="3"/>
  <c r="F7" i="3"/>
  <c r="E7" i="3"/>
  <c r="D7" i="3"/>
  <c r="C7" i="3"/>
  <c r="B7" i="3"/>
  <c r="I7" i="2"/>
  <c r="I6" i="2"/>
  <c r="I5" i="2"/>
  <c r="I4" i="2"/>
  <c r="I3" i="2"/>
  <c r="I2" i="2"/>
  <c r="J2" i="2"/>
  <c r="C7" i="2"/>
  <c r="D7" i="2"/>
  <c r="E7" i="2"/>
  <c r="F7" i="2"/>
  <c r="G7" i="2"/>
  <c r="B7" i="2"/>
  <c r="H3" i="2"/>
  <c r="H4" i="2"/>
  <c r="H5" i="2"/>
  <c r="H6" i="2"/>
  <c r="H2" i="2"/>
  <c r="C3" i="1"/>
  <c r="D3" i="1"/>
  <c r="E3" i="1"/>
  <c r="F3" i="1"/>
  <c r="G3" i="1"/>
  <c r="H3" i="1"/>
  <c r="I3" i="1"/>
  <c r="J3" i="1"/>
  <c r="K3" i="1"/>
  <c r="L3" i="1"/>
  <c r="M3" i="1"/>
  <c r="N3" i="1"/>
  <c r="B3" i="1"/>
  <c r="C2" i="1"/>
  <c r="D2" i="1"/>
  <c r="E2" i="1"/>
  <c r="F2" i="1"/>
  <c r="G2" i="1"/>
  <c r="H2" i="1"/>
  <c r="I2" i="1"/>
  <c r="J2" i="1"/>
  <c r="K2" i="1"/>
  <c r="L2" i="1"/>
  <c r="M2" i="1"/>
  <c r="N2" i="1"/>
  <c r="B2" i="1"/>
</calcChain>
</file>

<file path=xl/sharedStrings.xml><?xml version="1.0" encoding="utf-8"?>
<sst xmlns="http://schemas.openxmlformats.org/spreadsheetml/2006/main" count="31" uniqueCount="19">
  <si>
    <t>x</t>
  </si>
  <si>
    <t>y1</t>
  </si>
  <si>
    <t>y2</t>
  </si>
  <si>
    <t>Продукты питания</t>
  </si>
  <si>
    <t>Коммунальные платежи</t>
  </si>
  <si>
    <t>Обслуживание автомобиля</t>
  </si>
  <si>
    <t>Выплата кредитов</t>
  </si>
  <si>
    <t>Прочие расходы</t>
  </si>
  <si>
    <t>Январь</t>
  </si>
  <si>
    <t xml:space="preserve">Февраль </t>
  </si>
  <si>
    <t>Март</t>
  </si>
  <si>
    <t>Апрель</t>
  </si>
  <si>
    <t>Май</t>
  </si>
  <si>
    <t>Июнь</t>
  </si>
  <si>
    <t>Итого</t>
  </si>
  <si>
    <t>Ежемесячные расходы</t>
  </si>
  <si>
    <t>Ежемесячные доходы</t>
  </si>
  <si>
    <t>Накопления</t>
  </si>
  <si>
    <t>Тенденции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</si>
</sst>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7" formatCode="[$-419]mmmm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167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EB8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Графики</a:t>
            </a:r>
            <a:r>
              <a:rPr lang="ru-RU" baseline="0"/>
              <a:t> функций</a:t>
            </a:r>
            <a:endParaRPr lang="ru-RU"/>
          </a:p>
        </c:rich>
      </c:tx>
      <c:layout>
        <c:manualLayout>
          <c:xMode val="edge"/>
          <c:yMode val="edge"/>
          <c:x val="0.36779155730533686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8699609947847519E-2"/>
          <c:y val="0.17171296296296296"/>
          <c:w val="0.82062715197065517"/>
          <c:h val="0.660525101620104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xVal>
            <c:numRef>
              <c:f>Лист1!$B$1:$N$1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Лист1!$B$2:$N$2</c:f>
              <c:numCache>
                <c:formatCode>#\ ##0.0000</c:formatCode>
                <c:ptCount val="13"/>
                <c:pt idx="0" formatCode="General">
                  <c:v>8</c:v>
                </c:pt>
                <c:pt idx="1">
                  <c:v>5.6568542494923806</c:v>
                </c:pt>
                <c:pt idx="2" formatCode="General">
                  <c:v>4</c:v>
                </c:pt>
                <c:pt idx="3">
                  <c:v>2.8284271247461898</c:v>
                </c:pt>
                <c:pt idx="4" formatCode="General">
                  <c:v>2</c:v>
                </c:pt>
                <c:pt idx="5">
                  <c:v>1.4142135623730951</c:v>
                </c:pt>
                <c:pt idx="6" formatCode="General">
                  <c:v>1</c:v>
                </c:pt>
                <c:pt idx="7">
                  <c:v>0.70710678118654746</c:v>
                </c:pt>
                <c:pt idx="8" formatCode="General">
                  <c:v>0.5</c:v>
                </c:pt>
                <c:pt idx="9">
                  <c:v>0.35355339059327379</c:v>
                </c:pt>
                <c:pt idx="10" formatCode="General">
                  <c:v>0.25</c:v>
                </c:pt>
                <c:pt idx="11">
                  <c:v>0.17677669529663687</c:v>
                </c:pt>
                <c:pt idx="12" formatCode="General">
                  <c:v>0.125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metal"/>
            </c:spPr>
          </c:marker>
          <c:xVal>
            <c:numRef>
              <c:f>Лист1!$B$1:$N$1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Лист1!$B$3:$N$3</c:f>
              <c:numCache>
                <c:formatCode>#\ ##0.0000</c:formatCode>
                <c:ptCount val="13"/>
                <c:pt idx="0" formatCode="General">
                  <c:v>0.125</c:v>
                </c:pt>
                <c:pt idx="1">
                  <c:v>0.17677669529663687</c:v>
                </c:pt>
                <c:pt idx="2" formatCode="General">
                  <c:v>0.25</c:v>
                </c:pt>
                <c:pt idx="3">
                  <c:v>0.35355339059327379</c:v>
                </c:pt>
                <c:pt idx="4" formatCode="General">
                  <c:v>0.5</c:v>
                </c:pt>
                <c:pt idx="5">
                  <c:v>0.70710678118654746</c:v>
                </c:pt>
                <c:pt idx="6" formatCode="General">
                  <c:v>1</c:v>
                </c:pt>
                <c:pt idx="7">
                  <c:v>1.4142135623730951</c:v>
                </c:pt>
                <c:pt idx="8" formatCode="General">
                  <c:v>2</c:v>
                </c:pt>
                <c:pt idx="9">
                  <c:v>2.8284271247461898</c:v>
                </c:pt>
                <c:pt idx="10" formatCode="General">
                  <c:v>4</c:v>
                </c:pt>
                <c:pt idx="11">
                  <c:v>5.6568542494923806</c:v>
                </c:pt>
                <c:pt idx="12" formatCode="General">
                  <c:v>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50793280"/>
        <c:axId val="-1950800352"/>
      </c:scatterChart>
      <c:valAx>
        <c:axId val="-1950793280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950800352"/>
        <c:crosses val="autoZero"/>
        <c:crossBetween val="midCat"/>
      </c:valAx>
      <c:valAx>
        <c:axId val="-195080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95079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66669438596822"/>
          <c:y val="0.39817908566210253"/>
          <c:w val="0.12805277865902057"/>
          <c:h val="0.17077914988935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расходов за первое полугодие</a:t>
            </a:r>
          </a:p>
        </c:rich>
      </c:tx>
      <c:layout>
        <c:manualLayout>
          <c:xMode val="edge"/>
          <c:yMode val="edge"/>
          <c:x val="0.22108377523384692"/>
          <c:y val="1.4461312686374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9.0729592582690241E-2"/>
          <c:w val="0.71362326310343471"/>
          <c:h val="0.68303872616912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Лист2!$A$2</c:f>
              <c:strCache>
                <c:ptCount val="1"/>
                <c:pt idx="0">
                  <c:v>Продукты питания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7000"/>
                  </a:schemeClr>
                </a:gs>
                <a:gs pos="48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Лист2!$B$2:$G$2</c:f>
              <c:numCache>
                <c:formatCode>General</c:formatCode>
                <c:ptCount val="6"/>
                <c:pt idx="0">
                  <c:v>16.25</c:v>
                </c:pt>
                <c:pt idx="1">
                  <c:v>13.7</c:v>
                </c:pt>
                <c:pt idx="2">
                  <c:v>15</c:v>
                </c:pt>
                <c:pt idx="3">
                  <c:v>12.6</c:v>
                </c:pt>
                <c:pt idx="4">
                  <c:v>13.2</c:v>
                </c:pt>
                <c:pt idx="5">
                  <c:v>11.1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40089216"/>
        <c:axId val="-40088128"/>
      </c:barChart>
      <c:lineChart>
        <c:grouping val="standard"/>
        <c:varyColors val="0"/>
        <c:ser>
          <c:idx val="1"/>
          <c:order val="1"/>
          <c:tx>
            <c:strRef>
              <c:f>Лист2!$A$3</c:f>
              <c:strCache>
                <c:ptCount val="1"/>
                <c:pt idx="0">
                  <c:v>Коммунальные платежи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3"/>
            <c:marker>
              <c:symbol val="star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</c:dPt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Лист2!$B$3:$G$3</c:f>
              <c:numCache>
                <c:formatCode>General</c:formatCode>
                <c:ptCount val="6"/>
                <c:pt idx="0">
                  <c:v>6.8</c:v>
                </c:pt>
                <c:pt idx="1">
                  <c:v>6.2</c:v>
                </c:pt>
                <c:pt idx="2">
                  <c:v>6</c:v>
                </c:pt>
                <c:pt idx="3">
                  <c:v>5.9</c:v>
                </c:pt>
                <c:pt idx="4">
                  <c:v>5.0999999999999996</c:v>
                </c:pt>
                <c:pt idx="5">
                  <c:v>4.9000000000000004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Лист2!$A$4</c:f>
              <c:strCache>
                <c:ptCount val="1"/>
                <c:pt idx="0">
                  <c:v>Обслуживание автомобиля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Лист2!$B$4:$G$4</c:f>
              <c:numCache>
                <c:formatCode>General</c:formatCode>
                <c:ptCount val="6"/>
                <c:pt idx="0">
                  <c:v>5.2</c:v>
                </c:pt>
                <c:pt idx="1">
                  <c:v>4.8</c:v>
                </c:pt>
                <c:pt idx="2">
                  <c:v>4.3</c:v>
                </c:pt>
                <c:pt idx="3">
                  <c:v>4.5999999999999996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Лист2!$A$5</c:f>
              <c:strCache>
                <c:ptCount val="1"/>
                <c:pt idx="0">
                  <c:v>Выплата кредитов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Лист2!$B$5:$G$5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Лист2!$A$6</c:f>
              <c:strCache>
                <c:ptCount val="1"/>
                <c:pt idx="0">
                  <c:v>Прочие расходы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Лист2!$B$6:$G$6</c:f>
              <c:numCache>
                <c:formatCode>General</c:formatCode>
                <c:ptCount val="6"/>
                <c:pt idx="0">
                  <c:v>12</c:v>
                </c:pt>
                <c:pt idx="1">
                  <c:v>0</c:v>
                </c:pt>
                <c:pt idx="2">
                  <c:v>4.2</c:v>
                </c:pt>
                <c:pt idx="3">
                  <c:v>1.5</c:v>
                </c:pt>
                <c:pt idx="4">
                  <c:v>6.8</c:v>
                </c:pt>
                <c:pt idx="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0089216"/>
        <c:axId val="-40088128"/>
      </c:lineChart>
      <c:catAx>
        <c:axId val="-4008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0088128"/>
        <c:crosses val="autoZero"/>
        <c:auto val="1"/>
        <c:lblAlgn val="ctr"/>
        <c:lblOffset val="100"/>
        <c:noMultiLvlLbl val="0"/>
      </c:catAx>
      <c:valAx>
        <c:axId val="-400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008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90889593351375"/>
          <c:y val="0.4294789374644169"/>
          <c:w val="0.22215928470339016"/>
          <c:h val="0.20417561881273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расходов за первое полугодие</a:t>
            </a:r>
          </a:p>
        </c:rich>
      </c:tx>
      <c:layout>
        <c:manualLayout>
          <c:xMode val="edge"/>
          <c:yMode val="edge"/>
          <c:x val="0.27841138888888894"/>
          <c:y val="1.763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7823899613527517E-2"/>
          <c:y val="8.2381930184804941E-2"/>
          <c:w val="0.86883052715105824"/>
          <c:h val="0.7723110586536026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Лист2!$A$2</c:f>
              <c:strCache>
                <c:ptCount val="1"/>
                <c:pt idx="0">
                  <c:v>Продукты питания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Лист2!$B$2:$G$2</c:f>
              <c:numCache>
                <c:formatCode>General</c:formatCode>
                <c:ptCount val="6"/>
                <c:pt idx="0">
                  <c:v>16.25</c:v>
                </c:pt>
                <c:pt idx="1">
                  <c:v>13.7</c:v>
                </c:pt>
                <c:pt idx="2">
                  <c:v>15</c:v>
                </c:pt>
                <c:pt idx="3">
                  <c:v>12.6</c:v>
                </c:pt>
                <c:pt idx="4">
                  <c:v>13.2</c:v>
                </c:pt>
                <c:pt idx="5">
                  <c:v>11.1</c:v>
                </c:pt>
              </c:numCache>
            </c:numRef>
          </c:val>
        </c:ser>
        <c:ser>
          <c:idx val="1"/>
          <c:order val="1"/>
          <c:tx>
            <c:strRef>
              <c:f>Лист2!$A$3</c:f>
              <c:strCache>
                <c:ptCount val="1"/>
                <c:pt idx="0">
                  <c:v>Коммунальные платежи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Лист2!$B$3:$G$3</c:f>
              <c:numCache>
                <c:formatCode>General</c:formatCode>
                <c:ptCount val="6"/>
                <c:pt idx="0">
                  <c:v>6.8</c:v>
                </c:pt>
                <c:pt idx="1">
                  <c:v>6.2</c:v>
                </c:pt>
                <c:pt idx="2">
                  <c:v>6</c:v>
                </c:pt>
                <c:pt idx="3">
                  <c:v>5.9</c:v>
                </c:pt>
                <c:pt idx="4">
                  <c:v>5.0999999999999996</c:v>
                </c:pt>
                <c:pt idx="5">
                  <c:v>4.9000000000000004</c:v>
                </c:pt>
              </c:numCache>
            </c:numRef>
          </c:val>
        </c:ser>
        <c:ser>
          <c:idx val="2"/>
          <c:order val="2"/>
          <c:tx>
            <c:strRef>
              <c:f>Лист2!$A$4</c:f>
              <c:strCache>
                <c:ptCount val="1"/>
                <c:pt idx="0">
                  <c:v>Обслуживание автомобиля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Лист2!$B$4:$G$4</c:f>
              <c:numCache>
                <c:formatCode>General</c:formatCode>
                <c:ptCount val="6"/>
                <c:pt idx="0">
                  <c:v>5.2</c:v>
                </c:pt>
                <c:pt idx="1">
                  <c:v>4.8</c:v>
                </c:pt>
                <c:pt idx="2">
                  <c:v>4.3</c:v>
                </c:pt>
                <c:pt idx="3">
                  <c:v>4.5999999999999996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ser>
          <c:idx val="3"/>
          <c:order val="3"/>
          <c:tx>
            <c:strRef>
              <c:f>Лист2!$A$5</c:f>
              <c:strCache>
                <c:ptCount val="1"/>
                <c:pt idx="0">
                  <c:v>Выплата кредитов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Лист2!$B$5:$G$5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</c:ser>
        <c:ser>
          <c:idx val="4"/>
          <c:order val="4"/>
          <c:tx>
            <c:strRef>
              <c:f>Лист2!$A$6</c:f>
              <c:strCache>
                <c:ptCount val="1"/>
                <c:pt idx="0">
                  <c:v>Прочие расходы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Лист2!$B$6:$G$6</c:f>
              <c:numCache>
                <c:formatCode>General</c:formatCode>
                <c:ptCount val="6"/>
                <c:pt idx="0">
                  <c:v>12</c:v>
                </c:pt>
                <c:pt idx="1">
                  <c:v>0</c:v>
                </c:pt>
                <c:pt idx="2">
                  <c:v>4.2</c:v>
                </c:pt>
                <c:pt idx="3">
                  <c:v>1.5</c:v>
                </c:pt>
                <c:pt idx="4">
                  <c:v>6.8</c:v>
                </c:pt>
                <c:pt idx="5">
                  <c:v>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724436848"/>
        <c:axId val="-1724435216"/>
      </c:barChart>
      <c:catAx>
        <c:axId val="-1724436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724435216"/>
        <c:crosses val="autoZero"/>
        <c:auto val="1"/>
        <c:lblAlgn val="ctr"/>
        <c:lblOffset val="100"/>
        <c:noMultiLvlLbl val="0"/>
      </c:catAx>
      <c:valAx>
        <c:axId val="-172443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724436848"/>
        <c:crosses val="autoZero"/>
        <c:crossBetween val="between"/>
      </c:valAx>
      <c:spPr>
        <a:noFill/>
        <a:ln w="254000">
          <a:noFill/>
        </a:ln>
        <a:effectLst/>
      </c:spPr>
    </c:plotArea>
    <c:legend>
      <c:legendPos val="r"/>
      <c:layout>
        <c:manualLayout>
          <c:xMode val="edge"/>
          <c:yMode val="edge"/>
          <c:x val="0.72963444444444447"/>
          <c:y val="8.2244097222222229E-2"/>
          <c:w val="0.22598902777777774"/>
          <c:h val="0.44262847222222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6"/>
          <c:order val="0"/>
          <c:tx>
            <c:strRef>
              <c:f>Лист2!$H$1</c:f>
              <c:strCache>
                <c:ptCount val="1"/>
                <c:pt idx="0">
                  <c:v>Итого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Лист2!$A$2:$A$6</c:f>
              <c:strCache>
                <c:ptCount val="5"/>
                <c:pt idx="0">
                  <c:v>Продукты питания</c:v>
                </c:pt>
                <c:pt idx="1">
                  <c:v>Коммунальные платежи</c:v>
                </c:pt>
                <c:pt idx="2">
                  <c:v>Обслуживание автомобиля</c:v>
                </c:pt>
                <c:pt idx="3">
                  <c:v>Выплата кредитов</c:v>
                </c:pt>
                <c:pt idx="4">
                  <c:v>Прочие расходы</c:v>
                </c:pt>
              </c:strCache>
            </c:strRef>
          </c:cat>
          <c:val>
            <c:numRef>
              <c:f>Лист2!$H$2:$H$6</c:f>
              <c:numCache>
                <c:formatCode>General</c:formatCode>
                <c:ptCount val="5"/>
                <c:pt idx="0">
                  <c:v>81.849999999999994</c:v>
                </c:pt>
                <c:pt idx="1">
                  <c:v>34.9</c:v>
                </c:pt>
                <c:pt idx="2">
                  <c:v>24.9</c:v>
                </c:pt>
                <c:pt idx="3">
                  <c:v>24</c:v>
                </c:pt>
                <c:pt idx="4">
                  <c:v>24.5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40"/>
      <c:rotY val="35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18097222222222226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22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52DB318D-6B93-4BEC-A3E1-F83A5790BCAE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; </a:t>
                    </a:r>
                    <a:fld id="{50A24DB5-136E-4CA0-91B7-030F228A70E3}" type="CATEGORYNAME">
                      <a:rPr lang="en-US" baseline="0"/>
                      <a:pPr/>
                      <a:t>[ИМЯ КАТЕГОРИИ]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FA6E656-5D9F-4CA5-B691-44C3A78570F9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; </a:t>
                    </a:r>
                    <a:fld id="{7937B329-8703-4940-905D-94339E684446}" type="CATEGORYNAME">
                      <a:rPr lang="en-US" baseline="0"/>
                      <a:pPr/>
                      <a:t>[ИМЯ КАТЕГОРИИ]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B69B771-412A-4BC2-B769-F92005B04E1F}" type="CELLRANGE">
                      <a:rPr lang="en-US" baseline="0"/>
                      <a:pPr>
                        <a:defRPr/>
                      </a:pPr>
                      <a:t>[ДИАПАЗОН ЯЧЕЕК]</a:t>
                    </a:fld>
                    <a:r>
                      <a:rPr lang="en-US" baseline="0"/>
                      <a:t>; </a:t>
                    </a:r>
                    <a:fld id="{C6112453-359E-4889-803F-92390D194143}" type="CATEGORYNAME">
                      <a:rPr lang="en-US" baseline="0"/>
                      <a:pPr>
                        <a:defRPr/>
                      </a:pPr>
                      <a:t>[ИМЯ КАТЕГОРИИ]</a:t>
                    </a:fld>
                    <a:endParaRPr lang="en-US" baseline="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906933508311458"/>
                      <c:h val="0.10178258967629045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439D943B-4313-473C-A544-58DBCDE5C1AA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; </a:t>
                    </a:r>
                    <a:fld id="{46DD540E-FA73-494D-A3E4-9419DA625D55}" type="CATEGORYNAME">
                      <a:rPr lang="en-US" baseline="0"/>
                      <a:pPr/>
                      <a:t>[ИМЯ КАТЕГОРИИ]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338789B-182E-455C-913E-1D14E694AFB6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; </a:t>
                    </a:r>
                    <a:fld id="{7DDE4668-0E34-4071-B703-F117A4FDC769}" type="CATEGORYNAME">
                      <a:rPr lang="en-US" baseline="0"/>
                      <a:pPr/>
                      <a:t>[ИМЯ КАТЕГОРИИ]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E69687EF-D862-4D19-A607-DB2142E62AB1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; </a:t>
                    </a:r>
                    <a:fld id="{E618A334-B0CD-44E5-8DEC-6665BAD0A560}" type="CATEGORYNAME">
                      <a:rPr lang="en-US" baseline="0"/>
                      <a:pPr/>
                      <a:t>[ИМЯ КАТЕГОРИИ]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  <c15:showDataLabelsRange val="1"/>
              </c:ext>
            </c:extLst>
          </c:dLbls>
          <c:cat>
            <c:strRef>
              <c:f>Лист2!$B$1:$G$1</c:f>
              <c:strCache>
                <c:ptCount val="6"/>
                <c:pt idx="0">
                  <c:v>Январь</c:v>
                </c:pt>
                <c:pt idx="1">
                  <c:v>Февраль 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Лист2!$B$7:$G$7</c:f>
              <c:numCache>
                <c:formatCode>General</c:formatCode>
                <c:ptCount val="6"/>
                <c:pt idx="0">
                  <c:v>43.25</c:v>
                </c:pt>
                <c:pt idx="1">
                  <c:v>28.7</c:v>
                </c:pt>
                <c:pt idx="2">
                  <c:v>32.5</c:v>
                </c:pt>
                <c:pt idx="3">
                  <c:v>29.6</c:v>
                </c:pt>
                <c:pt idx="4">
                  <c:v>31.099999999999998</c:v>
                </c:pt>
                <c:pt idx="5">
                  <c:v>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Лист2!$I$2:$I$7</c15:f>
                <c15:dlblRangeCache>
                  <c:ptCount val="6"/>
                  <c:pt idx="0">
                    <c:v>22,75%</c:v>
                  </c:pt>
                  <c:pt idx="1">
                    <c:v>15,09%</c:v>
                  </c:pt>
                  <c:pt idx="2">
                    <c:v>17,09%</c:v>
                  </c:pt>
                  <c:pt idx="3">
                    <c:v>15,57%</c:v>
                  </c:pt>
                  <c:pt idx="4">
                    <c:v>16,36%</c:v>
                  </c:pt>
                  <c:pt idx="5">
                    <c:v>13,15%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>
          <a:lumMod val="50000"/>
        </a:schemeClr>
      </a:solidFill>
      <a:round/>
    </a:ln>
    <a:effectLst>
      <a:outerShdw blurRad="50800" dist="381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3</xdr:row>
      <xdr:rowOff>42862</xdr:rowOff>
    </xdr:from>
    <xdr:to>
      <xdr:col>14</xdr:col>
      <xdr:colOff>219076</xdr:colOff>
      <xdr:row>16</xdr:row>
      <xdr:rowOff>76200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123823</xdr:colOff>
      <xdr:row>8</xdr:row>
      <xdr:rowOff>19049</xdr:rowOff>
    </xdr:from>
    <xdr:to>
      <xdr:col>10</xdr:col>
      <xdr:colOff>581025</xdr:colOff>
      <xdr:row>35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37</xdr:row>
      <xdr:rowOff>0</xdr:rowOff>
    </xdr:from>
    <xdr:to>
      <xdr:col>10</xdr:col>
      <xdr:colOff>199125</xdr:colOff>
      <xdr:row>52</xdr:row>
      <xdr:rowOff>22500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600076</xdr:colOff>
      <xdr:row>52</xdr:row>
      <xdr:rowOff>190499</xdr:rowOff>
    </xdr:from>
    <xdr:to>
      <xdr:col>7</xdr:col>
      <xdr:colOff>571501</xdr:colOff>
      <xdr:row>76</xdr:row>
      <xdr:rowOff>133350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6</xdr:row>
      <xdr:rowOff>152400</xdr:rowOff>
    </xdr:from>
    <xdr:to>
      <xdr:col>9</xdr:col>
      <xdr:colOff>66675</xdr:colOff>
      <xdr:row>21</xdr:row>
      <xdr:rowOff>38100</xdr:rowOff>
    </xdr:to>
    <xdr:graphicFrame macro="">
      <xdr:nvGraphicFramePr>
        <xdr:cNvPr id="2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Q11" sqref="Q11"/>
    </sheetView>
  </sheetViews>
  <sheetFormatPr defaultRowHeight="15" x14ac:dyDescent="0.25"/>
  <sheetData>
    <row r="1" spans="1:14" x14ac:dyDescent="0.25">
      <c r="A1" t="s">
        <v>0</v>
      </c>
      <c r="B1">
        <v>-3</v>
      </c>
      <c r="C1">
        <v>-2.5</v>
      </c>
      <c r="D1">
        <v>-2</v>
      </c>
      <c r="E1">
        <v>-1.5</v>
      </c>
      <c r="F1">
        <v>-1</v>
      </c>
      <c r="G1">
        <v>-0.5</v>
      </c>
      <c r="H1">
        <v>0</v>
      </c>
      <c r="I1">
        <v>0.5</v>
      </c>
      <c r="J1">
        <v>1</v>
      </c>
      <c r="K1">
        <v>1.5</v>
      </c>
      <c r="L1">
        <v>2</v>
      </c>
      <c r="M1">
        <v>2.5</v>
      </c>
      <c r="N1">
        <v>3</v>
      </c>
    </row>
    <row r="2" spans="1:14" x14ac:dyDescent="0.25">
      <c r="A2" t="s">
        <v>1</v>
      </c>
      <c r="B2" s="1">
        <f>1/POWER(2,B1)</f>
        <v>8</v>
      </c>
      <c r="C2" s="2">
        <f t="shared" ref="C2:N2" si="0">1/POWER(2,C1)</f>
        <v>5.6568542494923806</v>
      </c>
      <c r="D2" s="1">
        <f t="shared" si="0"/>
        <v>4</v>
      </c>
      <c r="E2" s="2">
        <f t="shared" si="0"/>
        <v>2.8284271247461898</v>
      </c>
      <c r="F2" s="1">
        <f t="shared" si="0"/>
        <v>2</v>
      </c>
      <c r="G2" s="2">
        <f t="shared" si="0"/>
        <v>1.4142135623730951</v>
      </c>
      <c r="H2" s="1">
        <f t="shared" si="0"/>
        <v>1</v>
      </c>
      <c r="I2" s="2">
        <f t="shared" si="0"/>
        <v>0.70710678118654746</v>
      </c>
      <c r="J2" s="1">
        <f t="shared" si="0"/>
        <v>0.5</v>
      </c>
      <c r="K2" s="2">
        <f t="shared" si="0"/>
        <v>0.35355339059327379</v>
      </c>
      <c r="L2" s="1">
        <f t="shared" si="0"/>
        <v>0.25</v>
      </c>
      <c r="M2" s="2">
        <f t="shared" si="0"/>
        <v>0.17677669529663687</v>
      </c>
      <c r="N2" s="1">
        <f t="shared" si="0"/>
        <v>0.125</v>
      </c>
    </row>
    <row r="3" spans="1:14" x14ac:dyDescent="0.25">
      <c r="A3" t="s">
        <v>2</v>
      </c>
      <c r="B3">
        <f>POWER(2,B1)</f>
        <v>0.125</v>
      </c>
      <c r="C3" s="2">
        <f t="shared" ref="C3:N3" si="1">POWER(2,C1)</f>
        <v>0.17677669529663687</v>
      </c>
      <c r="D3">
        <f t="shared" si="1"/>
        <v>0.25</v>
      </c>
      <c r="E3" s="2">
        <f t="shared" si="1"/>
        <v>0.35355339059327379</v>
      </c>
      <c r="F3">
        <f t="shared" si="1"/>
        <v>0.5</v>
      </c>
      <c r="G3" s="2">
        <f t="shared" si="1"/>
        <v>0.70710678118654746</v>
      </c>
      <c r="H3">
        <f t="shared" si="1"/>
        <v>1</v>
      </c>
      <c r="I3" s="2">
        <f t="shared" si="1"/>
        <v>1.4142135623730951</v>
      </c>
      <c r="J3">
        <f t="shared" si="1"/>
        <v>2</v>
      </c>
      <c r="K3" s="2">
        <f t="shared" si="1"/>
        <v>2.8284271247461898</v>
      </c>
      <c r="L3">
        <f t="shared" si="1"/>
        <v>4</v>
      </c>
      <c r="M3" s="2">
        <f t="shared" si="1"/>
        <v>5.6568542494923806</v>
      </c>
      <c r="N3">
        <f t="shared" si="1"/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Normal="100" workbookViewId="0">
      <selection activeCell="A7" sqref="A7:G7"/>
    </sheetView>
  </sheetViews>
  <sheetFormatPr defaultRowHeight="15" x14ac:dyDescent="0.25"/>
  <cols>
    <col min="1" max="1" width="25.85546875" customWidth="1"/>
    <col min="9" max="9" width="10.140625" bestFit="1" customWidth="1"/>
  </cols>
  <sheetData>
    <row r="1" spans="1:10" x14ac:dyDescent="0.25"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/>
    </row>
    <row r="2" spans="1:10" x14ac:dyDescent="0.25">
      <c r="A2" t="s">
        <v>3</v>
      </c>
      <c r="B2">
        <v>16.25</v>
      </c>
      <c r="C2">
        <v>13.7</v>
      </c>
      <c r="D2">
        <v>15</v>
      </c>
      <c r="E2">
        <v>12.6</v>
      </c>
      <c r="F2">
        <v>13.2</v>
      </c>
      <c r="G2">
        <v>11.1</v>
      </c>
      <c r="H2">
        <f>SUM(B2:G2)</f>
        <v>81.849999999999994</v>
      </c>
      <c r="I2" s="4">
        <f>B7/$J$2</f>
        <v>0.22745201156981329</v>
      </c>
      <c r="J2" s="1">
        <f>SUM(H2:H6)</f>
        <v>190.15</v>
      </c>
    </row>
    <row r="3" spans="1:10" x14ac:dyDescent="0.25">
      <c r="A3" t="s">
        <v>4</v>
      </c>
      <c r="B3">
        <v>6.8</v>
      </c>
      <c r="C3">
        <v>6.2</v>
      </c>
      <c r="D3">
        <v>6</v>
      </c>
      <c r="E3">
        <v>5.9</v>
      </c>
      <c r="F3">
        <v>5.0999999999999996</v>
      </c>
      <c r="G3">
        <v>4.9000000000000004</v>
      </c>
      <c r="H3">
        <f t="shared" ref="H3:H6" si="0">SUM(B3:G3)</f>
        <v>34.9</v>
      </c>
      <c r="I3" s="4">
        <f>C7/$J$2</f>
        <v>0.1509334735734946</v>
      </c>
    </row>
    <row r="4" spans="1:10" x14ac:dyDescent="0.25">
      <c r="A4" t="s">
        <v>5</v>
      </c>
      <c r="B4">
        <v>5.2</v>
      </c>
      <c r="C4">
        <v>4.8</v>
      </c>
      <c r="D4">
        <v>4.3</v>
      </c>
      <c r="E4">
        <v>4.5999999999999996</v>
      </c>
      <c r="F4">
        <v>3</v>
      </c>
      <c r="G4">
        <v>3</v>
      </c>
      <c r="H4">
        <f t="shared" si="0"/>
        <v>24.9</v>
      </c>
      <c r="I4" s="4">
        <f>D7/$J$2</f>
        <v>0.17091769655535102</v>
      </c>
    </row>
    <row r="5" spans="1:10" x14ac:dyDescent="0.25">
      <c r="A5" t="s">
        <v>6</v>
      </c>
      <c r="B5">
        <v>3</v>
      </c>
      <c r="C5">
        <v>4</v>
      </c>
      <c r="D5">
        <v>3</v>
      </c>
      <c r="E5">
        <v>5</v>
      </c>
      <c r="F5">
        <v>3</v>
      </c>
      <c r="G5">
        <v>6</v>
      </c>
      <c r="H5">
        <f t="shared" si="0"/>
        <v>24</v>
      </c>
      <c r="I5" s="4">
        <f>E7/$J$2</f>
        <v>0.15566657901656586</v>
      </c>
    </row>
    <row r="6" spans="1:10" x14ac:dyDescent="0.25">
      <c r="A6" t="s">
        <v>7</v>
      </c>
      <c r="B6">
        <v>12</v>
      </c>
      <c r="C6">
        <v>0</v>
      </c>
      <c r="D6">
        <v>4.2</v>
      </c>
      <c r="E6">
        <v>1.5</v>
      </c>
      <c r="F6">
        <v>6.8</v>
      </c>
      <c r="G6">
        <v>0</v>
      </c>
      <c r="H6">
        <f t="shared" si="0"/>
        <v>24.5</v>
      </c>
      <c r="I6" s="4">
        <f>F7/$J$2</f>
        <v>0.16355508808835129</v>
      </c>
    </row>
    <row r="7" spans="1:10" x14ac:dyDescent="0.25">
      <c r="A7" t="s">
        <v>14</v>
      </c>
      <c r="B7">
        <f>SUM(B2:B6)</f>
        <v>43.25</v>
      </c>
      <c r="C7">
        <f t="shared" ref="C7:G7" si="1">SUM(C2:C6)</f>
        <v>28.7</v>
      </c>
      <c r="D7">
        <f t="shared" si="1"/>
        <v>32.5</v>
      </c>
      <c r="E7">
        <f t="shared" si="1"/>
        <v>29.6</v>
      </c>
      <c r="F7">
        <f t="shared" si="1"/>
        <v>31.099999999999998</v>
      </c>
      <c r="G7">
        <f t="shared" si="1"/>
        <v>25</v>
      </c>
      <c r="I7" s="4">
        <f>G7/J2</f>
        <v>0.13147515119642386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E14" sqref="E14"/>
    </sheetView>
  </sheetViews>
  <sheetFormatPr defaultRowHeight="15" x14ac:dyDescent="0.25"/>
  <cols>
    <col min="1" max="1" width="26.140625" customWidth="1"/>
    <col min="8" max="8" width="31.85546875" customWidth="1"/>
  </cols>
  <sheetData>
    <row r="1" spans="1:8" ht="15" customHeight="1" x14ac:dyDescent="0.25"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</row>
    <row r="2" spans="1:8" ht="28.5" customHeight="1" x14ac:dyDescent="0.25">
      <c r="A2" t="s">
        <v>3</v>
      </c>
      <c r="B2">
        <v>16.25</v>
      </c>
      <c r="C2">
        <v>13.7</v>
      </c>
      <c r="D2">
        <v>15</v>
      </c>
      <c r="E2">
        <v>12.6</v>
      </c>
      <c r="F2">
        <v>13.2</v>
      </c>
      <c r="G2">
        <v>11.1</v>
      </c>
    </row>
    <row r="3" spans="1:8" ht="28.5" customHeight="1" x14ac:dyDescent="0.25">
      <c r="A3" t="s">
        <v>4</v>
      </c>
      <c r="B3">
        <v>6.8</v>
      </c>
      <c r="C3">
        <v>6.2</v>
      </c>
      <c r="D3">
        <v>6</v>
      </c>
      <c r="E3">
        <v>5.9</v>
      </c>
      <c r="F3">
        <v>5.0999999999999996</v>
      </c>
      <c r="G3">
        <v>4.9000000000000004</v>
      </c>
    </row>
    <row r="4" spans="1:8" ht="28.5" customHeight="1" x14ac:dyDescent="0.25">
      <c r="A4" t="s">
        <v>5</v>
      </c>
      <c r="B4">
        <v>5.2</v>
      </c>
      <c r="C4">
        <v>4.8</v>
      </c>
      <c r="D4">
        <v>4.3</v>
      </c>
      <c r="E4">
        <v>4.5999999999999996</v>
      </c>
      <c r="F4">
        <v>3</v>
      </c>
      <c r="G4">
        <v>3</v>
      </c>
    </row>
    <row r="5" spans="1:8" ht="28.5" customHeight="1" x14ac:dyDescent="0.25">
      <c r="A5" t="s">
        <v>6</v>
      </c>
      <c r="B5">
        <v>3</v>
      </c>
      <c r="C5">
        <v>4</v>
      </c>
      <c r="D5">
        <v>3</v>
      </c>
      <c r="E5">
        <v>5</v>
      </c>
      <c r="F5">
        <v>3</v>
      </c>
      <c r="G5">
        <v>6</v>
      </c>
    </row>
    <row r="6" spans="1:8" ht="28.5" customHeight="1" x14ac:dyDescent="0.25">
      <c r="A6" t="s">
        <v>7</v>
      </c>
      <c r="B6">
        <v>12</v>
      </c>
      <c r="C6">
        <v>0</v>
      </c>
      <c r="D6">
        <v>4.2</v>
      </c>
      <c r="E6">
        <v>1.5</v>
      </c>
      <c r="F6">
        <v>6.8</v>
      </c>
      <c r="G6">
        <v>0</v>
      </c>
    </row>
    <row r="7" spans="1:8" ht="28.5" customHeight="1" x14ac:dyDescent="0.25">
      <c r="A7" t="s">
        <v>15</v>
      </c>
      <c r="B7">
        <f>SUM(B2:B6)</f>
        <v>43.25</v>
      </c>
      <c r="C7">
        <f t="shared" ref="C7:G7" si="0">SUM(C2:C6)</f>
        <v>28.7</v>
      </c>
      <c r="D7">
        <f t="shared" si="0"/>
        <v>32.5</v>
      </c>
      <c r="E7">
        <f t="shared" si="0"/>
        <v>29.6</v>
      </c>
      <c r="F7">
        <f t="shared" si="0"/>
        <v>31.099999999999998</v>
      </c>
      <c r="G7">
        <f t="shared" si="0"/>
        <v>25</v>
      </c>
    </row>
    <row r="8" spans="1:8" ht="28.5" customHeight="1" x14ac:dyDescent="0.25">
      <c r="A8" t="s">
        <v>16</v>
      </c>
      <c r="B8">
        <v>46</v>
      </c>
      <c r="C8">
        <v>28.5</v>
      </c>
      <c r="D8">
        <v>34.200000000000003</v>
      </c>
      <c r="E8">
        <v>42.8</v>
      </c>
      <c r="F8">
        <v>41</v>
      </c>
      <c r="G8">
        <v>41</v>
      </c>
    </row>
    <row r="9" spans="1:8" ht="28.5" customHeight="1" x14ac:dyDescent="0.25">
      <c r="A9" t="s">
        <v>17</v>
      </c>
      <c r="B9">
        <f>B8-B7</f>
        <v>2.75</v>
      </c>
      <c r="C9">
        <f t="shared" ref="C9:G9" si="1">C8-C7</f>
        <v>-0.19999999999999929</v>
      </c>
      <c r="D9">
        <f t="shared" si="1"/>
        <v>1.7000000000000028</v>
      </c>
      <c r="E9">
        <f t="shared" si="1"/>
        <v>13.199999999999996</v>
      </c>
      <c r="F9">
        <f t="shared" si="1"/>
        <v>9.9000000000000021</v>
      </c>
      <c r="G9">
        <f t="shared" si="1"/>
        <v>16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Лист3!B9:G9</xm:f>
              <xm:sqref>H9</xm:sqref>
            </x14:sparkline>
          </x14:sparklines>
        </x14:sparklineGroup>
        <x14:sparklineGroup type="column" displayEmptyCellsAs="gap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C00000"/>
          <x14:sparklines>
            <x14:sparkline>
              <xm:f>Лист3!B8:G8</xm:f>
              <xm:sqref>H8</xm:sqref>
            </x14:sparkline>
          </x14:sparklines>
        </x14:sparklineGroup>
        <x14:sparklineGroup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1" tint="4.9989318521683403E-2"/>
          <x14:colorLow theme="1" tint="4.9989318521683403E-2"/>
          <x14:sparklines>
            <x14:sparkline>
              <xm:f>Лист3!B7:G7</xm:f>
              <xm:sqref>H7</xm:sqref>
            </x14:sparkline>
          </x14:sparklines>
        </x14:sparklineGroup>
        <x14:sparklineGroup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1" tint="4.9989318521683403E-2"/>
          <x14:colorLow theme="1" tint="4.9989318521683403E-2"/>
          <x14:sparklines>
            <x14:sparkline>
              <xm:f>Лист3!B6:G6</xm:f>
              <xm:sqref>H6</xm:sqref>
            </x14:sparkline>
          </x14:sparklines>
        </x14:sparklineGroup>
        <x14:sparklineGroup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1" tint="4.9989318521683403E-2"/>
          <x14:colorLow theme="1" tint="4.9989318521683403E-2"/>
          <x14:sparklines>
            <x14:sparkline>
              <xm:f>Лист3!B5:G5</xm:f>
              <xm:sqref>H5</xm:sqref>
            </x14:sparkline>
          </x14:sparklines>
        </x14:sparklineGroup>
        <x14:sparklineGroup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1" tint="4.9989318521683403E-2"/>
          <x14:colorLow theme="1" tint="4.9989318521683403E-2"/>
          <x14:sparklines>
            <x14:sparkline>
              <xm:f>Лист3!B4:G4</xm:f>
              <xm:sqref>H4</xm:sqref>
            </x14:sparkline>
          </x14:sparklines>
        </x14:sparklineGroup>
        <x14:sparklineGroup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1" tint="4.9989318521683403E-2"/>
          <x14:colorLow theme="1" tint="4.9989318521683403E-2"/>
          <x14:sparklines>
            <x14:sparkline>
              <xm:f>Лист3!B3:G3</xm:f>
              <xm:sqref>H3</xm:sqref>
            </x14:sparkline>
          </x14:sparklines>
        </x14:sparklineGroup>
        <x14:sparklineGroup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1" tint="4.9989318521683403E-2"/>
          <x14:colorLow theme="1" tint="4.9989318521683403E-2"/>
          <x14:sparklines>
            <x14:sparkline>
              <xm:f>Лист3!B2:G2</xm:f>
              <xm:sqref>H2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 Orusskiy</dc:creator>
  <cp:lastModifiedBy>Slava Orusskiy</cp:lastModifiedBy>
  <dcterms:created xsi:type="dcterms:W3CDTF">2019-09-25T16:54:08Z</dcterms:created>
  <dcterms:modified xsi:type="dcterms:W3CDTF">2019-09-25T19:29:53Z</dcterms:modified>
</cp:coreProperties>
</file>